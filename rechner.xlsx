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nze\Downloads\"/>
    </mc:Choice>
  </mc:AlternateContent>
  <xr:revisionPtr revIDLastSave="0" documentId="13_ncr:1_{06FDC8E5-CC23-4654-A787-C13CA54FB759}" xr6:coauthVersionLast="47" xr6:coauthVersionMax="47" xr10:uidLastSave="{00000000-0000-0000-0000-000000000000}"/>
  <bookViews>
    <workbookView xWindow="1080" yWindow="1080" windowWidth="23040" windowHeight="13560" tabRatio="500" xr2:uid="{00000000-000D-0000-FFFF-FFFF00000000}"/>
  </bookViews>
  <sheets>
    <sheet name="Annahmen" sheetId="1" r:id="rId1"/>
    <sheet name="Rechnung" sheetId="2" r:id="rId2"/>
    <sheet name="Szenari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3" l="1"/>
  <c r="D14" i="3"/>
  <c r="C14" i="3"/>
  <c r="G27" i="2"/>
  <c r="G17" i="2"/>
  <c r="G16" i="2"/>
  <c r="G18" i="2" s="1"/>
  <c r="G19" i="2" s="1"/>
  <c r="G35" i="2" s="1"/>
  <c r="E10" i="2"/>
  <c r="D10" i="2"/>
  <c r="E9" i="2"/>
  <c r="D9" i="2"/>
  <c r="E8" i="2"/>
  <c r="D8" i="2"/>
  <c r="E7" i="2"/>
  <c r="D7" i="2"/>
  <c r="C42" i="1"/>
  <c r="G22" i="2" s="1"/>
  <c r="C30" i="1"/>
  <c r="C10" i="2" s="1"/>
  <c r="F10" i="2" s="1"/>
  <c r="C28" i="1"/>
  <c r="C12" i="3" s="1"/>
  <c r="C14" i="1"/>
  <c r="C19" i="1" s="1"/>
  <c r="C21" i="1" s="1"/>
  <c r="C7" i="1"/>
  <c r="C10" i="1" s="1"/>
  <c r="C22" i="1" s="1"/>
  <c r="G10" i="2" l="1"/>
  <c r="E16" i="3"/>
  <c r="D16" i="3"/>
  <c r="C16" i="3"/>
  <c r="G30" i="2"/>
  <c r="G28" i="2"/>
  <c r="G23" i="2"/>
  <c r="G24" i="2" s="1"/>
  <c r="G29" i="2"/>
  <c r="G26" i="2"/>
  <c r="G31" i="2" s="1"/>
  <c r="C13" i="3"/>
  <c r="E12" i="3"/>
  <c r="E13" i="3" s="1"/>
  <c r="C23" i="1"/>
  <c r="D12" i="3"/>
  <c r="D13" i="3" s="1"/>
  <c r="C7" i="2"/>
  <c r="F7" i="2" s="1"/>
  <c r="C9" i="2"/>
  <c r="F9" i="2" s="1"/>
  <c r="G9" i="2" s="1"/>
  <c r="C8" i="2"/>
  <c r="F8" i="2" s="1"/>
  <c r="G8" i="2" s="1"/>
  <c r="G41" i="2" l="1"/>
  <c r="G36" i="2"/>
  <c r="E15" i="3"/>
  <c r="E17" i="3" s="1"/>
  <c r="C15" i="3"/>
  <c r="C17" i="3" s="1"/>
  <c r="F11" i="2"/>
  <c r="G12" i="2"/>
  <c r="G7" i="2"/>
  <c r="G11" i="2" s="1"/>
  <c r="G34" i="2" s="1"/>
  <c r="G37" i="2" s="1"/>
  <c r="G39" i="2" s="1"/>
  <c r="D15" i="3"/>
  <c r="D17" i="3" s="1"/>
  <c r="G40" i="2" l="1"/>
  <c r="G13" i="2"/>
</calcChain>
</file>

<file path=xl/sharedStrings.xml><?xml version="1.0" encoding="utf-8"?>
<sst xmlns="http://schemas.openxmlformats.org/spreadsheetml/2006/main" count="159" uniqueCount="135">
  <si>
    <t>Wirtschaftlichkeitsrechnung Schlüsselverwaltung</t>
  </si>
  <si>
    <t>Gelb hinterlegte, blaue Zellen sind Eingaben. Alles andere rechnet sich selbst.</t>
  </si>
  <si>
    <t>1  Personalkosten</t>
  </si>
  <si>
    <t>Bruttogehalt pro Monat</t>
  </si>
  <si>
    <t>Eingabe Nutzer</t>
  </si>
  <si>
    <t>Bruttogehalt pro Jahr</t>
  </si>
  <si>
    <t>Arbeitgeberanteil SV, Umlagen, Berufsgenossenschaft</t>
  </si>
  <si>
    <t>Erfahrungswert; je nach Umlagesätzen 20–23 %</t>
  </si>
  <si>
    <t>Arbeitsplatzkosten pro Jahr (IT, Fläche, Ausstattung)</t>
  </si>
  <si>
    <t>Annahme; bitte an eigene Werte anpassen</t>
  </si>
  <si>
    <t>Jahresvollkosten je Mitarbeiter</t>
  </si>
  <si>
    <t>2  Produktive Stunden pro Jahr</t>
  </si>
  <si>
    <t>Wochenstunden</t>
  </si>
  <si>
    <t>h</t>
  </si>
  <si>
    <t>Bruttostunden (52 Wochen)</t>
  </si>
  <si>
    <t>Urlaubstage</t>
  </si>
  <si>
    <t>Tage</t>
  </si>
  <si>
    <t>Feiertage</t>
  </si>
  <si>
    <t>Krankheitstage</t>
  </si>
  <si>
    <t>Fortbildungsstunden</t>
  </si>
  <si>
    <t>Anwesenheitsstunden</t>
  </si>
  <si>
    <t>Unproduktiver Anteil</t>
  </si>
  <si>
    <t>Pausen, Rüstzeiten, interne Abstimmung</t>
  </si>
  <si>
    <t>Produktive Stunden</t>
  </si>
  <si>
    <t>Vollkostensatz pro produktiver Stunde</t>
  </si>
  <si>
    <t>Vergleich naiv (Brutto / 2.080 h): siehe Zelle C23. Der Unterschied ist der häufigste Rechenfehler.</t>
  </si>
  <si>
    <t xml:space="preserve">  zum Vergleich: naiver Stundenlohn (Brutto / 2.080 h)</t>
  </si>
  <si>
    <t>3  Mengengerüst</t>
  </si>
  <si>
    <t>Arbeitstage pro Jahr</t>
  </si>
  <si>
    <t>Schlüsselbewegungen pro Arbeitstag</t>
  </si>
  <si>
    <t>Stk</t>
  </si>
  <si>
    <t>Ausgabe und Rücknahme zählen je als eine Bewegung</t>
  </si>
  <si>
    <t>Ausleihvorgänge pro Jahr</t>
  </si>
  <si>
    <t>Ein Vorgang = eine Ausgabe + eine Rücknahme</t>
  </si>
  <si>
    <t>Zwischenanfragen pro Woche ("ist der Schlüssel da?")</t>
  </si>
  <si>
    <t>Zwischenanfragen pro Jahr</t>
  </si>
  <si>
    <t>Anteil Schlüssel, die am Haken hängen</t>
  </si>
  <si>
    <t>Annahme; bestimmt, wie oft das Schlüsselbuch durchsucht werden musste</t>
  </si>
  <si>
    <t>4  Zeiten je Ereignis (Minuten)</t>
  </si>
  <si>
    <t>vorher</t>
  </si>
  <si>
    <t>nachher</t>
  </si>
  <si>
    <t>1  Haken prüfen, Schlüssel ist da</t>
  </si>
  <si>
    <t>Ereignis 1: Anfrage kommt herein, Verfügbarkeit muss geklärt werden.</t>
  </si>
  <si>
    <t>1b Schlüssel fehlt: Schlüsselbuch durchsuchen</t>
  </si>
  <si>
    <t>Bis zu 30 Min. laut Nutzer; hier konservativ 20</t>
  </si>
  <si>
    <t>2  Ausgabe dokumentieren und aushändigen</t>
  </si>
  <si>
    <t>Person, Firma, Kontakt leserlich erfassen</t>
  </si>
  <si>
    <t>3  Rücknahme: Eintrag finden, quittieren, zurückhängen</t>
  </si>
  <si>
    <t>4  Zwischenanfrage beantworten</t>
  </si>
  <si>
    <t>5  Kosten der Lösung</t>
  </si>
  <si>
    <t>Lizenz pro Monat (netto)</t>
  </si>
  <si>
    <t>easyDing, eine Lizenz je Standort</t>
  </si>
  <si>
    <t>Lizenz pro Jahr</t>
  </si>
  <si>
    <t>Administrationsaufwand pro Jahr</t>
  </si>
  <si>
    <t>Hardware einmalig (Tablet mit Kamera, optional)</t>
  </si>
  <si>
    <t>Nicht zwingend – ein vorhandener PC genügt</t>
  </si>
  <si>
    <t>Schlüssel im Bestand</t>
  </si>
  <si>
    <t>Erfassungsdauer je Schlüssel</t>
  </si>
  <si>
    <t>Min</t>
  </si>
  <si>
    <t>Alternativszenario 1,0 Min. siehe Blatt Szenarien</t>
  </si>
  <si>
    <t>Schulung: Personen</t>
  </si>
  <si>
    <t>Pers</t>
  </si>
  <si>
    <t>Schulung: Stunden je Person</t>
  </si>
  <si>
    <t>Konfiguration und Projektleitung</t>
  </si>
  <si>
    <t>Produktivitätsdelle Umstellung</t>
  </si>
  <si>
    <t>Die ersten Wochen ist der neue Prozess langsamer als der alte</t>
  </si>
  <si>
    <t>6  Risiko Schließanlage</t>
  </si>
  <si>
    <t>Aufwand je Schadensfall</t>
  </si>
  <si>
    <t>Ankerwert: OLG Brandenburg 10 U 100/22 – 6.669,21 € Zylindertausch</t>
  </si>
  <si>
    <t>Durchsetzbar ohne lückenlosen Nachweis</t>
  </si>
  <si>
    <t>Im OLG-Fall wurden von 6.627,71 € nur 1.625,30 € zugesprochen</t>
  </si>
  <si>
    <t>Durchsetzbar mit lückenlosem Nachweis</t>
  </si>
  <si>
    <t>Annahme des Nutzers – kein Gerichtswert, muss als Annahme benannt werden</t>
  </si>
  <si>
    <t>Prozesskostenanteil ohne Nachweis</t>
  </si>
  <si>
    <t>Schätzung; im OLG-Fall trug die klagende WEG 3/4 der Kosten</t>
  </si>
  <si>
    <t>Prozesskostenanteil mit Nachweis</t>
  </si>
  <si>
    <t>Schätzung</t>
  </si>
  <si>
    <t>Ein Schadensfall alle ... Jahre</t>
  </si>
  <si>
    <t>Jahre</t>
  </si>
  <si>
    <t>Konservative Annahme des Nutzers</t>
  </si>
  <si>
    <t>Ergebnis</t>
  </si>
  <si>
    <t>Alle Werte rechnen sich aus dem Blatt Annahmen.</t>
  </si>
  <si>
    <t>1  Zeitersparnis pro Jahr</t>
  </si>
  <si>
    <t>Fälle/Jahr</t>
  </si>
  <si>
    <t>vorher Min</t>
  </si>
  <si>
    <t>nachher Min</t>
  </si>
  <si>
    <t>Stunden</t>
  </si>
  <si>
    <t>Wert</t>
  </si>
  <si>
    <t>Verfügbarkeit klären (Haken bzw. Buch)</t>
  </si>
  <si>
    <t>Ausgabe dokumentieren</t>
  </si>
  <si>
    <t>Rücknahme dokumentieren</t>
  </si>
  <si>
    <t>Zwischenanfragen beantworten</t>
  </si>
  <si>
    <t>Summe</t>
  </si>
  <si>
    <t>Ereignis 1 und 4 zusammen machen den größten Anteil aus – siehe Zelle H12.</t>
  </si>
  <si>
    <t>davon Anteil "wo ist der Schlüssel?" (Ereignis 1 + 4)</t>
  </si>
  <si>
    <t>Vollzeitäquivalente</t>
  </si>
  <si>
    <t>2  Risikoreduktion pro Jahr</t>
  </si>
  <si>
    <t>Belastung je Fall ohne Nachweis</t>
  </si>
  <si>
    <t>Ankerwerte aus OLG Brandenburg, Urteil vom 27.04.2023, Az. 10 U 100/22.</t>
  </si>
  <si>
    <t>Belastung je Fall mit Nachweis</t>
  </si>
  <si>
    <t>Die Quote "mit Nachweis" ist eine Annahme, kein Gerichtswert.</t>
  </si>
  <si>
    <t>Differenz je Fall</t>
  </si>
  <si>
    <t>Risikoreduktion pro Jahr</t>
  </si>
  <si>
    <t>3  Kosten</t>
  </si>
  <si>
    <t>Administration pro Jahr</t>
  </si>
  <si>
    <t>Laufende Kosten pro Jahr</t>
  </si>
  <si>
    <t>Ersterfassung (Schlüssel × Dauer)</t>
  </si>
  <si>
    <t>Hardware</t>
  </si>
  <si>
    <t>Schulung</t>
  </si>
  <si>
    <t>Produktivitätsdelle</t>
  </si>
  <si>
    <t>Einmalkosten gesamt</t>
  </si>
  <si>
    <t>4  Ergebnis</t>
  </si>
  <si>
    <t>Zeitwert pro Jahr</t>
  </si>
  <si>
    <t>abzüglich laufende Kosten</t>
  </si>
  <si>
    <t>Jahresnutzen</t>
  </si>
  <si>
    <t>Amortisation der Einmalkosten</t>
  </si>
  <si>
    <t>Kosten je gewonnener Arbeitsstunde</t>
  </si>
  <si>
    <t>Dagegen: Vollkostensatz auf Blatt Annahmen, Zelle C22.</t>
  </si>
  <si>
    <t>Break-even: Zwischenanfragen pro Woche</t>
  </si>
  <si>
    <t>Ab so vielen Suchvorgängen pro Woche tragen sich die laufenden Kosten allein daraus.</t>
  </si>
  <si>
    <t>Szenarien</t>
  </si>
  <si>
    <t>Die Spalten sortieren danach, wie günstig die Rechnung ausfällt – nicht danach, wie pessimistisch die einzelne Annahme klingt. Alle vier Hebel zeigen in dieselbe Richtung: links wird der Nutzen kleingerechnet und die Kosten hochgesetzt, rechts umgekehrt.</t>
  </si>
  <si>
    <t>Stellhebel</t>
  </si>
  <si>
    <t>vorsichtig</t>
  </si>
  <si>
    <t>realistisch</t>
  </si>
  <si>
    <t>günstig</t>
  </si>
  <si>
    <t>Anteil Schlüssel am Haken  (hoch = weniger Sucherei vorher)</t>
  </si>
  <si>
    <t>Suchdauer im Schlüsselbuch (Min)  (kurz = weniger Ersparnis)</t>
  </si>
  <si>
    <t>Erfassungsdauer je Schlüssel (Min)  (lang = höhere Einmalkosten)</t>
  </si>
  <si>
    <t>Schadensfall alle ... Jahre  (selten = weniger Risikonutzen)</t>
  </si>
  <si>
    <t>Gesparte Stunden pro Jahr</t>
  </si>
  <si>
    <t>Bewertet mit dem Vollkostensatz aus Blatt Annahmen, Zelle C22.</t>
  </si>
  <si>
    <t>Jahresnutzen = Zeitwert + Risikoreduktion − laufende Kosten.</t>
  </si>
  <si>
    <t>Einmalkosten</t>
  </si>
  <si>
    <t>Amortisation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</si>
</sst>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€&quot;"/>
    <numFmt numFmtId="165" formatCode="#,##0.00&quot; €&quot;"/>
    <numFmt numFmtId="166" formatCode="#,##0.0"/>
    <numFmt numFmtId="167" formatCode="0.0&quot; Monate&quot;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8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164" fontId="4" fillId="0" borderId="1" xfId="0" applyNumberFormat="1" applyFont="1" applyBorder="1"/>
    <xf numFmtId="9" fontId="5" fillId="3" borderId="1" xfId="0" applyNumberFormat="1" applyFont="1" applyFill="1" applyBorder="1"/>
    <xf numFmtId="3" fontId="5" fillId="3" borderId="1" xfId="0" applyNumberFormat="1" applyFont="1" applyFill="1" applyBorder="1"/>
    <xf numFmtId="3" fontId="4" fillId="0" borderId="1" xfId="0" applyNumberFormat="1" applyFont="1" applyBorder="1"/>
    <xf numFmtId="0" fontId="6" fillId="0" borderId="0" xfId="0" applyFont="1"/>
    <xf numFmtId="165" fontId="7" fillId="4" borderId="1" xfId="0" applyNumberFormat="1" applyFont="1" applyFill="1" applyBorder="1"/>
    <xf numFmtId="165" fontId="4" fillId="0" borderId="1" xfId="0" applyNumberFormat="1" applyFont="1" applyBorder="1"/>
    <xf numFmtId="166" fontId="5" fillId="3" borderId="1" xfId="0" applyNumberFormat="1" applyFont="1" applyFill="1" applyBorder="1"/>
    <xf numFmtId="0" fontId="0" fillId="2" borderId="0" xfId="0" applyFill="1"/>
    <xf numFmtId="0" fontId="4" fillId="0" borderId="1" xfId="0" applyFont="1" applyBorder="1"/>
    <xf numFmtId="166" fontId="4" fillId="0" borderId="1" xfId="0" applyNumberFormat="1" applyFont="1" applyBorder="1"/>
    <xf numFmtId="0" fontId="6" fillId="4" borderId="1" xfId="0" applyFont="1" applyFill="1" applyBorder="1"/>
    <xf numFmtId="0" fontId="0" fillId="4" borderId="1" xfId="0" applyFill="1" applyBorder="1"/>
    <xf numFmtId="166" fontId="6" fillId="4" borderId="1" xfId="0" applyNumberFormat="1" applyFont="1" applyFill="1" applyBorder="1"/>
    <xf numFmtId="164" fontId="6" fillId="4" borderId="1" xfId="0" applyNumberFormat="1" applyFont="1" applyFill="1" applyBorder="1"/>
    <xf numFmtId="9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4" fontId="0" fillId="4" borderId="1" xfId="0" applyNumberFormat="1" applyFill="1" applyBorder="1"/>
    <xf numFmtId="164" fontId="7" fillId="4" borderId="1" xfId="0" applyNumberFormat="1" applyFont="1" applyFill="1" applyBorder="1"/>
    <xf numFmtId="167" fontId="7" fillId="4" borderId="1" xfId="0" applyNumberFormat="1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6" fillId="4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8"/>
  <sheetViews>
    <sheetView showGridLines="0" tabSelected="1" zoomScaleNormal="100" workbookViewId="0"/>
  </sheetViews>
  <sheetFormatPr baseColWidth="10" defaultColWidth="8.6640625" defaultRowHeight="14.4" x14ac:dyDescent="0.3"/>
  <cols>
    <col min="1" max="1" width="3" customWidth="1"/>
    <col min="2" max="2" width="52" customWidth="1"/>
    <col min="3" max="3" width="14" customWidth="1"/>
    <col min="4" max="4" width="10" customWidth="1"/>
    <col min="5" max="5" width="62" customWidth="1"/>
  </cols>
  <sheetData>
    <row r="2" spans="2:5" ht="17.399999999999999" x14ac:dyDescent="0.3">
      <c r="B2" s="2" t="s">
        <v>0</v>
      </c>
    </row>
    <row r="3" spans="2:5" x14ac:dyDescent="0.3">
      <c r="B3" s="3" t="s">
        <v>1</v>
      </c>
    </row>
    <row r="5" spans="2:5" ht="18" customHeight="1" x14ac:dyDescent="0.3">
      <c r="B5" s="4" t="s">
        <v>2</v>
      </c>
      <c r="C5" s="4"/>
      <c r="D5" s="4"/>
    </row>
    <row r="6" spans="2:5" x14ac:dyDescent="0.3">
      <c r="B6" s="5" t="s">
        <v>3</v>
      </c>
      <c r="C6" s="6">
        <v>3000</v>
      </c>
      <c r="E6" s="3" t="s">
        <v>4</v>
      </c>
    </row>
    <row r="7" spans="2:5" x14ac:dyDescent="0.3">
      <c r="B7" s="5" t="s">
        <v>5</v>
      </c>
      <c r="C7" s="7">
        <f>C6*12</f>
        <v>36000</v>
      </c>
    </row>
    <row r="8" spans="2:5" x14ac:dyDescent="0.3">
      <c r="B8" s="5" t="s">
        <v>6</v>
      </c>
      <c r="C8" s="8">
        <v>0.22</v>
      </c>
      <c r="E8" s="3" t="s">
        <v>7</v>
      </c>
    </row>
    <row r="9" spans="2:5" x14ac:dyDescent="0.3">
      <c r="B9" s="5" t="s">
        <v>8</v>
      </c>
      <c r="C9" s="6">
        <v>6000</v>
      </c>
      <c r="E9" s="3" t="s">
        <v>9</v>
      </c>
    </row>
    <row r="10" spans="2:5" x14ac:dyDescent="0.3">
      <c r="B10" s="5" t="s">
        <v>10</v>
      </c>
      <c r="C10" s="7">
        <f>C7*(1+C8)+C9</f>
        <v>49920</v>
      </c>
    </row>
    <row r="12" spans="2:5" ht="18" customHeight="1" x14ac:dyDescent="0.3">
      <c r="B12" s="4" t="s">
        <v>11</v>
      </c>
      <c r="C12" s="4"/>
      <c r="D12" s="4"/>
    </row>
    <row r="13" spans="2:5" x14ac:dyDescent="0.3">
      <c r="B13" s="5" t="s">
        <v>12</v>
      </c>
      <c r="C13" s="9">
        <v>40</v>
      </c>
      <c r="D13" s="3" t="s">
        <v>13</v>
      </c>
    </row>
    <row r="14" spans="2:5" x14ac:dyDescent="0.3">
      <c r="B14" s="5" t="s">
        <v>14</v>
      </c>
      <c r="C14" s="10">
        <f>C13*52</f>
        <v>2080</v>
      </c>
      <c r="D14" s="3" t="s">
        <v>13</v>
      </c>
    </row>
    <row r="15" spans="2:5" x14ac:dyDescent="0.3">
      <c r="B15" s="5" t="s">
        <v>15</v>
      </c>
      <c r="C15" s="9">
        <v>30</v>
      </c>
      <c r="D15" s="3" t="s">
        <v>16</v>
      </c>
    </row>
    <row r="16" spans="2:5" x14ac:dyDescent="0.3">
      <c r="B16" s="5" t="s">
        <v>17</v>
      </c>
      <c r="C16" s="9">
        <v>10</v>
      </c>
      <c r="D16" s="3" t="s">
        <v>16</v>
      </c>
    </row>
    <row r="17" spans="2:5" x14ac:dyDescent="0.3">
      <c r="B17" s="5" t="s">
        <v>18</v>
      </c>
      <c r="C17" s="9">
        <v>10</v>
      </c>
      <c r="D17" s="3" t="s">
        <v>16</v>
      </c>
    </row>
    <row r="18" spans="2:5" x14ac:dyDescent="0.3">
      <c r="B18" s="5" t="s">
        <v>19</v>
      </c>
      <c r="C18" s="9">
        <v>24</v>
      </c>
      <c r="D18" s="3" t="s">
        <v>13</v>
      </c>
    </row>
    <row r="19" spans="2:5" x14ac:dyDescent="0.3">
      <c r="B19" s="5" t="s">
        <v>20</v>
      </c>
      <c r="C19" s="10">
        <f>C14-(C15+C16+C17)*C13/5-C18</f>
        <v>1656</v>
      </c>
      <c r="D19" s="3" t="s">
        <v>13</v>
      </c>
    </row>
    <row r="20" spans="2:5" x14ac:dyDescent="0.3">
      <c r="B20" s="5" t="s">
        <v>21</v>
      </c>
      <c r="C20" s="8">
        <v>0.15</v>
      </c>
      <c r="E20" s="3" t="s">
        <v>22</v>
      </c>
    </row>
    <row r="21" spans="2:5" x14ac:dyDescent="0.3">
      <c r="B21" s="5" t="s">
        <v>23</v>
      </c>
      <c r="C21" s="10">
        <f>C19*(1-C20)</f>
        <v>1407.6</v>
      </c>
      <c r="D21" s="3" t="s">
        <v>13</v>
      </c>
    </row>
    <row r="22" spans="2:5" ht="15.6" x14ac:dyDescent="0.3">
      <c r="B22" s="11" t="s">
        <v>24</v>
      </c>
      <c r="C22" s="12">
        <f>C10/C21</f>
        <v>35.464620630861042</v>
      </c>
      <c r="E22" s="3" t="s">
        <v>25</v>
      </c>
    </row>
    <row r="23" spans="2:5" x14ac:dyDescent="0.3">
      <c r="B23" s="5" t="s">
        <v>26</v>
      </c>
      <c r="C23" s="13">
        <f>C7/2080</f>
        <v>17.307692307692307</v>
      </c>
    </row>
    <row r="25" spans="2:5" ht="18" customHeight="1" x14ac:dyDescent="0.3">
      <c r="B25" s="4" t="s">
        <v>27</v>
      </c>
      <c r="C25" s="4"/>
      <c r="D25" s="4"/>
    </row>
    <row r="26" spans="2:5" x14ac:dyDescent="0.3">
      <c r="B26" s="5" t="s">
        <v>28</v>
      </c>
      <c r="C26" s="9">
        <v>250</v>
      </c>
      <c r="D26" s="3" t="s">
        <v>16</v>
      </c>
    </row>
    <row r="27" spans="2:5" x14ac:dyDescent="0.3">
      <c r="B27" s="5" t="s">
        <v>29</v>
      </c>
      <c r="C27" s="9">
        <v>5</v>
      </c>
      <c r="D27" s="3" t="s">
        <v>30</v>
      </c>
      <c r="E27" s="3" t="s">
        <v>31</v>
      </c>
    </row>
    <row r="28" spans="2:5" x14ac:dyDescent="0.3">
      <c r="B28" s="5" t="s">
        <v>32</v>
      </c>
      <c r="C28" s="10">
        <f>C26*C27/2</f>
        <v>625</v>
      </c>
      <c r="D28" s="3" t="s">
        <v>30</v>
      </c>
      <c r="E28" s="3" t="s">
        <v>33</v>
      </c>
    </row>
    <row r="29" spans="2:5" x14ac:dyDescent="0.3">
      <c r="B29" s="5" t="s">
        <v>34</v>
      </c>
      <c r="C29" s="9">
        <v>5</v>
      </c>
      <c r="D29" s="3" t="s">
        <v>30</v>
      </c>
      <c r="E29" s="3" t="s">
        <v>4</v>
      </c>
    </row>
    <row r="30" spans="2:5" x14ac:dyDescent="0.3">
      <c r="B30" s="5" t="s">
        <v>35</v>
      </c>
      <c r="C30" s="10">
        <f>C29*C26/5</f>
        <v>250</v>
      </c>
      <c r="D30" s="3" t="s">
        <v>30</v>
      </c>
    </row>
    <row r="31" spans="2:5" x14ac:dyDescent="0.3">
      <c r="B31" s="5" t="s">
        <v>36</v>
      </c>
      <c r="C31" s="8">
        <v>0.8</v>
      </c>
      <c r="E31" s="3" t="s">
        <v>37</v>
      </c>
    </row>
    <row r="33" spans="2:5" ht="18" customHeight="1" x14ac:dyDescent="0.3">
      <c r="B33" s="4" t="s">
        <v>38</v>
      </c>
      <c r="C33" s="4" t="s">
        <v>39</v>
      </c>
      <c r="D33" s="4" t="s">
        <v>40</v>
      </c>
    </row>
    <row r="34" spans="2:5" x14ac:dyDescent="0.3">
      <c r="B34" s="5" t="s">
        <v>41</v>
      </c>
      <c r="C34" s="14">
        <v>5</v>
      </c>
      <c r="D34" s="14">
        <v>1.5</v>
      </c>
      <c r="E34" s="3" t="s">
        <v>42</v>
      </c>
    </row>
    <row r="35" spans="2:5" x14ac:dyDescent="0.3">
      <c r="B35" s="5" t="s">
        <v>43</v>
      </c>
      <c r="C35" s="14">
        <v>20</v>
      </c>
      <c r="D35" s="14">
        <v>1.5</v>
      </c>
      <c r="E35" s="3" t="s">
        <v>44</v>
      </c>
    </row>
    <row r="36" spans="2:5" x14ac:dyDescent="0.3">
      <c r="B36" s="5" t="s">
        <v>45</v>
      </c>
      <c r="C36" s="14">
        <v>5</v>
      </c>
      <c r="D36" s="14">
        <v>1</v>
      </c>
      <c r="E36" s="3" t="s">
        <v>46</v>
      </c>
    </row>
    <row r="37" spans="2:5" x14ac:dyDescent="0.3">
      <c r="B37" s="5" t="s">
        <v>47</v>
      </c>
      <c r="C37" s="14">
        <v>7</v>
      </c>
      <c r="D37" s="14">
        <v>0.5</v>
      </c>
    </row>
    <row r="38" spans="2:5" x14ac:dyDescent="0.3">
      <c r="B38" s="5" t="s">
        <v>48</v>
      </c>
      <c r="C38" s="14">
        <v>20</v>
      </c>
      <c r="D38" s="14">
        <v>1</v>
      </c>
      <c r="E38" s="3" t="s">
        <v>44</v>
      </c>
    </row>
    <row r="40" spans="2:5" ht="18" customHeight="1" x14ac:dyDescent="0.3">
      <c r="B40" s="4" t="s">
        <v>49</v>
      </c>
      <c r="C40" s="4"/>
      <c r="D40" s="4"/>
    </row>
    <row r="41" spans="2:5" x14ac:dyDescent="0.3">
      <c r="B41" s="5" t="s">
        <v>50</v>
      </c>
      <c r="C41" s="6">
        <v>99</v>
      </c>
      <c r="E41" s="3" t="s">
        <v>51</v>
      </c>
    </row>
    <row r="42" spans="2:5" x14ac:dyDescent="0.3">
      <c r="B42" s="5" t="s">
        <v>52</v>
      </c>
      <c r="C42" s="7">
        <f>C41*12</f>
        <v>1188</v>
      </c>
    </row>
    <row r="43" spans="2:5" x14ac:dyDescent="0.3">
      <c r="B43" s="5" t="s">
        <v>53</v>
      </c>
      <c r="C43" s="14">
        <v>4</v>
      </c>
      <c r="D43" s="3" t="s">
        <v>13</v>
      </c>
    </row>
    <row r="44" spans="2:5" x14ac:dyDescent="0.3">
      <c r="B44" s="5" t="s">
        <v>54</v>
      </c>
      <c r="C44" s="6">
        <v>250</v>
      </c>
      <c r="E44" s="3" t="s">
        <v>55</v>
      </c>
    </row>
    <row r="45" spans="2:5" x14ac:dyDescent="0.3">
      <c r="B45" s="5" t="s">
        <v>56</v>
      </c>
      <c r="C45" s="9">
        <v>12000</v>
      </c>
      <c r="D45" s="3" t="s">
        <v>30</v>
      </c>
    </row>
    <row r="46" spans="2:5" x14ac:dyDescent="0.3">
      <c r="B46" s="5" t="s">
        <v>57</v>
      </c>
      <c r="C46" s="14">
        <v>0.5</v>
      </c>
      <c r="D46" s="3" t="s">
        <v>58</v>
      </c>
      <c r="E46" s="3" t="s">
        <v>59</v>
      </c>
    </row>
    <row r="47" spans="2:5" x14ac:dyDescent="0.3">
      <c r="B47" s="5" t="s">
        <v>60</v>
      </c>
      <c r="C47" s="9">
        <v>8</v>
      </c>
      <c r="D47" s="3" t="s">
        <v>61</v>
      </c>
    </row>
    <row r="48" spans="2:5" x14ac:dyDescent="0.3">
      <c r="B48" s="5" t="s">
        <v>62</v>
      </c>
      <c r="C48" s="14">
        <v>1.5</v>
      </c>
      <c r="D48" s="3" t="s">
        <v>13</v>
      </c>
    </row>
    <row r="49" spans="2:5" x14ac:dyDescent="0.3">
      <c r="B49" s="5" t="s">
        <v>63</v>
      </c>
      <c r="C49" s="14">
        <v>20</v>
      </c>
      <c r="D49" s="3" t="s">
        <v>13</v>
      </c>
    </row>
    <row r="50" spans="2:5" x14ac:dyDescent="0.3">
      <c r="B50" s="5" t="s">
        <v>64</v>
      </c>
      <c r="C50" s="14">
        <v>25</v>
      </c>
      <c r="D50" s="3" t="s">
        <v>13</v>
      </c>
      <c r="E50" s="3" t="s">
        <v>65</v>
      </c>
    </row>
    <row r="52" spans="2:5" ht="18" customHeight="1" x14ac:dyDescent="0.3">
      <c r="B52" s="4" t="s">
        <v>66</v>
      </c>
      <c r="C52" s="4"/>
      <c r="D52" s="4"/>
    </row>
    <row r="53" spans="2:5" x14ac:dyDescent="0.3">
      <c r="B53" s="5" t="s">
        <v>67</v>
      </c>
      <c r="C53" s="6">
        <v>6700</v>
      </c>
      <c r="E53" s="3" t="s">
        <v>68</v>
      </c>
    </row>
    <row r="54" spans="2:5" x14ac:dyDescent="0.3">
      <c r="B54" s="5" t="s">
        <v>69</v>
      </c>
      <c r="C54" s="8">
        <v>0.25</v>
      </c>
      <c r="E54" s="3" t="s">
        <v>70</v>
      </c>
    </row>
    <row r="55" spans="2:5" x14ac:dyDescent="0.3">
      <c r="B55" s="5" t="s">
        <v>71</v>
      </c>
      <c r="C55" s="8">
        <v>0.7</v>
      </c>
      <c r="E55" s="3" t="s">
        <v>72</v>
      </c>
    </row>
    <row r="56" spans="2:5" x14ac:dyDescent="0.3">
      <c r="B56" s="5" t="s">
        <v>73</v>
      </c>
      <c r="C56" s="6">
        <v>3000</v>
      </c>
      <c r="E56" s="3" t="s">
        <v>74</v>
      </c>
    </row>
    <row r="57" spans="2:5" x14ac:dyDescent="0.3">
      <c r="B57" s="5" t="s">
        <v>75</v>
      </c>
      <c r="C57" s="6">
        <v>750</v>
      </c>
      <c r="E57" s="3" t="s">
        <v>76</v>
      </c>
    </row>
    <row r="58" spans="2:5" x14ac:dyDescent="0.3">
      <c r="B58" s="5" t="s">
        <v>77</v>
      </c>
      <c r="C58" s="14">
        <v>3</v>
      </c>
      <c r="D58" s="3" t="s">
        <v>78</v>
      </c>
      <c r="E58" s="3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1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46" customWidth="1"/>
    <col min="3" max="7" width="13" customWidth="1"/>
    <col min="8" max="8" width="50" customWidth="1"/>
  </cols>
  <sheetData>
    <row r="2" spans="2:8" ht="17.399999999999999" x14ac:dyDescent="0.3">
      <c r="B2" s="2" t="s">
        <v>80</v>
      </c>
    </row>
    <row r="3" spans="2:8" x14ac:dyDescent="0.3">
      <c r="B3" s="3" t="s">
        <v>81</v>
      </c>
    </row>
    <row r="5" spans="2:8" x14ac:dyDescent="0.3">
      <c r="B5" s="4" t="s">
        <v>82</v>
      </c>
      <c r="C5" s="15"/>
      <c r="D5" s="15"/>
      <c r="E5" s="15"/>
      <c r="F5" s="15"/>
      <c r="G5" s="15"/>
    </row>
    <row r="6" spans="2:8" x14ac:dyDescent="0.3">
      <c r="C6" s="11" t="s">
        <v>83</v>
      </c>
      <c r="D6" s="11" t="s">
        <v>84</v>
      </c>
      <c r="E6" s="11" t="s">
        <v>85</v>
      </c>
      <c r="F6" s="11" t="s">
        <v>86</v>
      </c>
      <c r="G6" s="11" t="s">
        <v>87</v>
      </c>
    </row>
    <row r="7" spans="2:8" x14ac:dyDescent="0.3">
      <c r="B7" s="16" t="s">
        <v>88</v>
      </c>
      <c r="C7" s="10">
        <f>Annahmen!C28</f>
        <v>625</v>
      </c>
      <c r="D7" s="17">
        <f>Annahmen!C31*Annahmen!C34+(1-Annahmen!C31)*Annahmen!C35</f>
        <v>7.9999999999999991</v>
      </c>
      <c r="E7" s="17">
        <f>Annahmen!D34</f>
        <v>1.5</v>
      </c>
      <c r="F7" s="17">
        <f>C7*(D7-E7)/60</f>
        <v>67.708333333333329</v>
      </c>
      <c r="G7" s="7">
        <f>F7*Annahmen!$C$22</f>
        <v>2401.2503552145495</v>
      </c>
    </row>
    <row r="8" spans="2:8" x14ac:dyDescent="0.3">
      <c r="B8" s="16" t="s">
        <v>89</v>
      </c>
      <c r="C8" s="10">
        <f>Annahmen!C28</f>
        <v>625</v>
      </c>
      <c r="D8" s="17">
        <f>Annahmen!C36</f>
        <v>5</v>
      </c>
      <c r="E8" s="17">
        <f>Annahmen!D36</f>
        <v>1</v>
      </c>
      <c r="F8" s="17">
        <f>C8*(D8-E8)/60</f>
        <v>41.666666666666664</v>
      </c>
      <c r="G8" s="7">
        <f>F8*Annahmen!$C$22</f>
        <v>1477.6925262858767</v>
      </c>
    </row>
    <row r="9" spans="2:8" x14ac:dyDescent="0.3">
      <c r="B9" s="16" t="s">
        <v>90</v>
      </c>
      <c r="C9" s="10">
        <f>Annahmen!C28</f>
        <v>625</v>
      </c>
      <c r="D9" s="17">
        <f>Annahmen!C37</f>
        <v>7</v>
      </c>
      <c r="E9" s="17">
        <f>Annahmen!D37</f>
        <v>0.5</v>
      </c>
      <c r="F9" s="17">
        <f>C9*(D9-E9)/60</f>
        <v>67.708333333333329</v>
      </c>
      <c r="G9" s="7">
        <f>F9*Annahmen!$C$22</f>
        <v>2401.2503552145495</v>
      </c>
    </row>
    <row r="10" spans="2:8" x14ac:dyDescent="0.3">
      <c r="B10" s="16" t="s">
        <v>91</v>
      </c>
      <c r="C10" s="10">
        <f>Annahmen!C30</f>
        <v>250</v>
      </c>
      <c r="D10" s="17">
        <f>Annahmen!C38</f>
        <v>20</v>
      </c>
      <c r="E10" s="17">
        <f>Annahmen!D38</f>
        <v>1</v>
      </c>
      <c r="F10" s="17">
        <f>C10*(D10-E10)/60</f>
        <v>79.166666666666671</v>
      </c>
      <c r="G10" s="7">
        <f>F10*Annahmen!$C$22</f>
        <v>2807.6157999431662</v>
      </c>
    </row>
    <row r="11" spans="2:8" x14ac:dyDescent="0.3">
      <c r="B11" s="18" t="s">
        <v>92</v>
      </c>
      <c r="C11" s="19"/>
      <c r="D11" s="19"/>
      <c r="E11" s="19"/>
      <c r="F11" s="20">
        <f>SUM(F7:F10)</f>
        <v>256.25</v>
      </c>
      <c r="G11" s="21">
        <f>SUM(G7:G10)</f>
        <v>9087.8090366581418</v>
      </c>
      <c r="H11" s="3" t="s">
        <v>93</v>
      </c>
    </row>
    <row r="12" spans="2:8" x14ac:dyDescent="0.3">
      <c r="B12" s="5" t="s">
        <v>94</v>
      </c>
      <c r="G12" s="22">
        <f>(F7+F10)/F11</f>
        <v>0.57317073170731703</v>
      </c>
    </row>
    <row r="13" spans="2:8" x14ac:dyDescent="0.3">
      <c r="B13" s="5" t="s">
        <v>95</v>
      </c>
      <c r="G13" s="23">
        <f>F11/Annahmen!C21</f>
        <v>0.18204745666382496</v>
      </c>
    </row>
    <row r="15" spans="2:8" x14ac:dyDescent="0.3">
      <c r="B15" s="4" t="s">
        <v>96</v>
      </c>
      <c r="C15" s="15"/>
      <c r="D15" s="15"/>
      <c r="E15" s="15"/>
      <c r="F15" s="15"/>
      <c r="G15" s="15"/>
    </row>
    <row r="16" spans="2:8" x14ac:dyDescent="0.3">
      <c r="B16" s="5" t="s">
        <v>97</v>
      </c>
      <c r="G16" s="24">
        <f>Annahmen!C53*(1-Annahmen!C54)+Annahmen!C56</f>
        <v>8025</v>
      </c>
      <c r="H16" s="3" t="s">
        <v>98</v>
      </c>
    </row>
    <row r="17" spans="2:8" x14ac:dyDescent="0.3">
      <c r="B17" s="5" t="s">
        <v>99</v>
      </c>
      <c r="G17" s="24">
        <f>Annahmen!C53*(1-Annahmen!C55)+Annahmen!C57</f>
        <v>2760</v>
      </c>
      <c r="H17" s="3" t="s">
        <v>100</v>
      </c>
    </row>
    <row r="18" spans="2:8" x14ac:dyDescent="0.3">
      <c r="B18" s="5" t="s">
        <v>101</v>
      </c>
      <c r="G18" s="24">
        <f>G16-G17</f>
        <v>5265</v>
      </c>
    </row>
    <row r="19" spans="2:8" x14ac:dyDescent="0.3">
      <c r="B19" s="11" t="s">
        <v>102</v>
      </c>
      <c r="G19" s="25">
        <f>G18/Annahmen!C58</f>
        <v>1755</v>
      </c>
    </row>
    <row r="21" spans="2:8" x14ac:dyDescent="0.3">
      <c r="B21" s="4" t="s">
        <v>103</v>
      </c>
      <c r="C21" s="15"/>
      <c r="D21" s="15"/>
      <c r="E21" s="15"/>
      <c r="F21" s="15"/>
      <c r="G21" s="15"/>
    </row>
    <row r="22" spans="2:8" x14ac:dyDescent="0.3">
      <c r="B22" s="5" t="s">
        <v>52</v>
      </c>
      <c r="G22" s="24">
        <f>Annahmen!C42</f>
        <v>1188</v>
      </c>
    </row>
    <row r="23" spans="2:8" x14ac:dyDescent="0.3">
      <c r="B23" s="5" t="s">
        <v>104</v>
      </c>
      <c r="G23" s="24">
        <f>Annahmen!C43*Annahmen!C22</f>
        <v>141.85848252344417</v>
      </c>
    </row>
    <row r="24" spans="2:8" x14ac:dyDescent="0.3">
      <c r="B24" s="11" t="s">
        <v>105</v>
      </c>
      <c r="G24" s="25">
        <f>SUM(G22:G23)</f>
        <v>1329.8584825234441</v>
      </c>
    </row>
    <row r="26" spans="2:8" x14ac:dyDescent="0.3">
      <c r="B26" s="5" t="s">
        <v>106</v>
      </c>
      <c r="G26" s="24">
        <f>Annahmen!C45*Annahmen!C46/60*Annahmen!C22</f>
        <v>3546.4620630861041</v>
      </c>
    </row>
    <row r="27" spans="2:8" x14ac:dyDescent="0.3">
      <c r="B27" s="5" t="s">
        <v>107</v>
      </c>
      <c r="G27" s="24">
        <f>Annahmen!C44</f>
        <v>250</v>
      </c>
    </row>
    <row r="28" spans="2:8" x14ac:dyDescent="0.3">
      <c r="B28" s="5" t="s">
        <v>108</v>
      </c>
      <c r="G28" s="24">
        <f>Annahmen!C47*Annahmen!C48*Annahmen!C22</f>
        <v>425.57544757033247</v>
      </c>
    </row>
    <row r="29" spans="2:8" x14ac:dyDescent="0.3">
      <c r="B29" s="5" t="s">
        <v>63</v>
      </c>
      <c r="G29" s="24">
        <f>Annahmen!C49*Annahmen!C22</f>
        <v>709.29241261722086</v>
      </c>
    </row>
    <row r="30" spans="2:8" x14ac:dyDescent="0.3">
      <c r="B30" s="5" t="s">
        <v>109</v>
      </c>
      <c r="G30" s="24">
        <f>Annahmen!C50*Annahmen!C22</f>
        <v>886.61551577152602</v>
      </c>
    </row>
    <row r="31" spans="2:8" x14ac:dyDescent="0.3">
      <c r="B31" s="11" t="s">
        <v>110</v>
      </c>
      <c r="G31" s="25">
        <f>SUM(G26:G30)</f>
        <v>5817.9454390451838</v>
      </c>
    </row>
    <row r="33" spans="2:8" x14ac:dyDescent="0.3">
      <c r="B33" s="4" t="s">
        <v>111</v>
      </c>
      <c r="C33" s="15"/>
      <c r="D33" s="15"/>
      <c r="E33" s="15"/>
      <c r="F33" s="15"/>
      <c r="G33" s="15"/>
    </row>
    <row r="34" spans="2:8" x14ac:dyDescent="0.3">
      <c r="B34" s="5" t="s">
        <v>112</v>
      </c>
      <c r="G34" s="24">
        <f>G11</f>
        <v>9087.8090366581418</v>
      </c>
    </row>
    <row r="35" spans="2:8" x14ac:dyDescent="0.3">
      <c r="B35" s="5" t="s">
        <v>102</v>
      </c>
      <c r="G35" s="24">
        <f>G19</f>
        <v>1755</v>
      </c>
    </row>
    <row r="36" spans="2:8" x14ac:dyDescent="0.3">
      <c r="B36" s="5" t="s">
        <v>113</v>
      </c>
      <c r="G36" s="24">
        <f>-G24</f>
        <v>-1329.8584825234441</v>
      </c>
    </row>
    <row r="37" spans="2:8" ht="15.6" x14ac:dyDescent="0.3">
      <c r="B37" s="11" t="s">
        <v>114</v>
      </c>
      <c r="G37" s="26">
        <f>G34+G35+G36</f>
        <v>9512.9505541346971</v>
      </c>
    </row>
    <row r="39" spans="2:8" ht="15.6" x14ac:dyDescent="0.3">
      <c r="B39" s="11" t="s">
        <v>115</v>
      </c>
      <c r="G39" s="27">
        <f>IF(G37&lt;=0,"n/a",G31/G37*12)</f>
        <v>7.3389790971001894</v>
      </c>
    </row>
    <row r="40" spans="2:8" x14ac:dyDescent="0.3">
      <c r="B40" s="11" t="s">
        <v>116</v>
      </c>
      <c r="G40" s="28">
        <f>IF(F11&lt;=0,"n/a",G24/F11)</f>
        <v>5.1896916391158792</v>
      </c>
      <c r="H40" s="3" t="s">
        <v>117</v>
      </c>
    </row>
    <row r="41" spans="2:8" x14ac:dyDescent="0.3">
      <c r="B41" s="11" t="s">
        <v>118</v>
      </c>
      <c r="G41" s="29">
        <f>G24/Annahmen!C22*60/(Annahmen!C38-Annahmen!D38)/(Annahmen!C26/5)</f>
        <v>2.3683056680161938</v>
      </c>
      <c r="H41" s="3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7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46" customWidth="1"/>
    <col min="3" max="5" width="16" customWidth="1"/>
    <col min="6" max="6" width="55" customWidth="1"/>
  </cols>
  <sheetData>
    <row r="2" spans="2:6" ht="17.399999999999999" x14ac:dyDescent="0.3">
      <c r="B2" s="2" t="s">
        <v>120</v>
      </c>
    </row>
    <row r="3" spans="2:6" ht="39.75" customHeight="1" x14ac:dyDescent="0.3">
      <c r="B3" s="1" t="s">
        <v>121</v>
      </c>
      <c r="C3" s="1"/>
      <c r="D3" s="1"/>
      <c r="E3" s="1"/>
      <c r="F3" s="1"/>
    </row>
    <row r="5" spans="2:6" x14ac:dyDescent="0.3">
      <c r="B5" s="4" t="s">
        <v>122</v>
      </c>
      <c r="C5" s="4" t="s">
        <v>123</v>
      </c>
      <c r="D5" s="4" t="s">
        <v>124</v>
      </c>
      <c r="E5" s="4" t="s">
        <v>125</v>
      </c>
    </row>
    <row r="6" spans="2:6" x14ac:dyDescent="0.3">
      <c r="B6" s="5" t="s">
        <v>126</v>
      </c>
      <c r="C6" s="8">
        <v>0.8</v>
      </c>
      <c r="D6" s="8">
        <v>0.7</v>
      </c>
      <c r="E6" s="8">
        <v>0.6</v>
      </c>
    </row>
    <row r="7" spans="2:6" x14ac:dyDescent="0.3">
      <c r="B7" s="5" t="s">
        <v>127</v>
      </c>
      <c r="C7" s="14">
        <v>20</v>
      </c>
      <c r="D7" s="14">
        <v>25</v>
      </c>
      <c r="E7" s="14">
        <v>30</v>
      </c>
    </row>
    <row r="8" spans="2:6" x14ac:dyDescent="0.3">
      <c r="B8" s="5" t="s">
        <v>128</v>
      </c>
      <c r="C8" s="14">
        <v>1</v>
      </c>
      <c r="D8" s="14">
        <v>0.75</v>
      </c>
      <c r="E8" s="14">
        <v>0.5</v>
      </c>
    </row>
    <row r="9" spans="2:6" x14ac:dyDescent="0.3">
      <c r="B9" s="5" t="s">
        <v>129</v>
      </c>
      <c r="C9" s="14">
        <v>4</v>
      </c>
      <c r="D9" s="14">
        <v>3</v>
      </c>
      <c r="E9" s="14">
        <v>2</v>
      </c>
    </row>
    <row r="11" spans="2:6" x14ac:dyDescent="0.3">
      <c r="B11" s="4" t="s">
        <v>80</v>
      </c>
      <c r="C11" s="15"/>
      <c r="D11" s="15"/>
      <c r="E11" s="15"/>
    </row>
    <row r="12" spans="2:6" x14ac:dyDescent="0.3">
      <c r="B12" s="5" t="s">
        <v>130</v>
      </c>
      <c r="C12" s="29">
        <f>Annahmen!$C$28*((C6*Annahmen!$C$34+(1-C6)*C7)-Annahmen!$D$34)/60+Annahmen!$C$28*(Annahmen!$C$36-Annahmen!$D$36)/60+Annahmen!$C$28*(Annahmen!$C$37-Annahmen!$D$37)/60+Annahmen!$C$30*(C7-Annahmen!$D$38)/60</f>
        <v>256.25</v>
      </c>
      <c r="D12" s="29">
        <f>Annahmen!$C$28*((D6*Annahmen!$C$34+(1-D6)*D7)-Annahmen!$D$34)/60+Annahmen!$C$28*(Annahmen!$C$36-Annahmen!$D$36)/60+Annahmen!$C$28*(Annahmen!$C$37-Annahmen!$D$37)/60+Annahmen!$C$30*(D7-Annahmen!$D$38)/60</f>
        <v>308.33333333333331</v>
      </c>
      <c r="E12" s="29">
        <f>Annahmen!$C$28*((E6*Annahmen!$C$34+(1-E6)*E7)-Annahmen!$D$34)/60+Annahmen!$C$28*(Annahmen!$C$36-Annahmen!$D$36)/60+Annahmen!$C$28*(Annahmen!$C$37-Annahmen!$D$37)/60+Annahmen!$C$30*(E7-Annahmen!$D$38)/60</f>
        <v>370.83333333333331</v>
      </c>
    </row>
    <row r="13" spans="2:6" x14ac:dyDescent="0.3">
      <c r="B13" s="5" t="s">
        <v>112</v>
      </c>
      <c r="C13" s="24">
        <f>C12*Annahmen!$C$22</f>
        <v>9087.8090366581418</v>
      </c>
      <c r="D13" s="24">
        <f>D12*Annahmen!$C$22</f>
        <v>10934.924694515486</v>
      </c>
      <c r="E13" s="24">
        <f>E12*Annahmen!$C$22</f>
        <v>13151.463483944302</v>
      </c>
      <c r="F13" s="3" t="s">
        <v>131</v>
      </c>
    </row>
    <row r="14" spans="2:6" x14ac:dyDescent="0.3">
      <c r="B14" s="5" t="s">
        <v>102</v>
      </c>
      <c r="C14" s="24">
        <f>(Annahmen!$C$53*(1-Annahmen!$C$54)+Annahmen!$C$56-(Annahmen!$C$53*(1-Annahmen!$C$55)+Annahmen!$C$57))/C9</f>
        <v>1316.25</v>
      </c>
      <c r="D14" s="24">
        <f>(Annahmen!$C$53*(1-Annahmen!$C$54)+Annahmen!$C$56-(Annahmen!$C$53*(1-Annahmen!$C$55)+Annahmen!$C$57))/D9</f>
        <v>1755</v>
      </c>
      <c r="E14" s="24">
        <f>(Annahmen!$C$53*(1-Annahmen!$C$54)+Annahmen!$C$56-(Annahmen!$C$53*(1-Annahmen!$C$55)+Annahmen!$C$57))/E9</f>
        <v>2632.5</v>
      </c>
    </row>
    <row r="15" spans="2:6" x14ac:dyDescent="0.3">
      <c r="B15" s="11" t="s">
        <v>114</v>
      </c>
      <c r="C15" s="21">
        <f>C13+C14-Rechnung!$G$24</f>
        <v>9074.2005541346971</v>
      </c>
      <c r="D15" s="21">
        <f>D13+D14-Rechnung!$G$24</f>
        <v>11360.066211992042</v>
      </c>
      <c r="E15" s="21">
        <f>E13+E14-Rechnung!$G$24</f>
        <v>14454.105001420858</v>
      </c>
      <c r="F15" s="3" t="s">
        <v>132</v>
      </c>
    </row>
    <row r="16" spans="2:6" x14ac:dyDescent="0.3">
      <c r="B16" s="5" t="s">
        <v>133</v>
      </c>
      <c r="C16" s="24">
        <f>Annahmen!$C$45*C8/60*Annahmen!$C$22+Annahmen!$C$44+Annahmen!$C$47*Annahmen!$C$48*Annahmen!$C$22+Annahmen!$C$49*Annahmen!$C$22+Annahmen!$C$50*Annahmen!$C$22</f>
        <v>9364.4075021312874</v>
      </c>
      <c r="D16" s="24">
        <f>Annahmen!$C$45*D8/60*Annahmen!$C$22+Annahmen!$C$44+Annahmen!$C$47*Annahmen!$C$48*Annahmen!$C$22+Annahmen!$C$49*Annahmen!$C$22+Annahmen!$C$50*Annahmen!$C$22</f>
        <v>7591.1764705882351</v>
      </c>
      <c r="E16" s="24">
        <f>Annahmen!$C$45*E8/60*Annahmen!$C$22+Annahmen!$C$44+Annahmen!$C$47*Annahmen!$C$48*Annahmen!$C$22+Annahmen!$C$49*Annahmen!$C$22+Annahmen!$C$50*Annahmen!$C$22</f>
        <v>5817.9454390451838</v>
      </c>
    </row>
    <row r="17" spans="2:5" x14ac:dyDescent="0.3">
      <c r="B17" s="11" t="s">
        <v>134</v>
      </c>
      <c r="C17" s="30">
        <f>IF(C15&lt;=0,"n/a",C16/C15*12)</f>
        <v>12.383778532905829</v>
      </c>
      <c r="D17" s="30">
        <f>IF(D15&lt;=0,"n/a",D16/D15*12)</f>
        <v>8.0188016466750014</v>
      </c>
      <c r="E17" s="30">
        <f>IF(E15&lt;=0,"n/a",E16/E15*12)</f>
        <v>4.8301396220436521</v>
      </c>
    </row>
  </sheetData>
  <mergeCells count="1"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Annahmen</vt:lpstr>
      <vt:lpstr>Rechnung</vt:lpstr>
      <vt:lpstr>Szenarien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 Lonzen</cp:lastModifiedBy>
  <cp:revision>0</cp:revision>
  <dcterms:created xsi:type="dcterms:W3CDTF">2026-08-25T19:56:49Z</dcterms:created>
  <dcterms:modified xsi:type="dcterms:W3CDTF">2026-08-26T16:02:18Z</dcterms:modified>
  <dc:language>en-US</dc:language>
</cp:coreProperties>
</file>